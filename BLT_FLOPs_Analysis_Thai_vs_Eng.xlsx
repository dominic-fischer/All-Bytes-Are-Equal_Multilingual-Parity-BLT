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ominic/Downloads/"/>
    </mc:Choice>
  </mc:AlternateContent>
  <xr:revisionPtr revIDLastSave="0" documentId="13_ncr:1_{FB4A5FE7-1DBF-9749-8F43-F630FA379CCE}" xr6:coauthVersionLast="47" xr6:coauthVersionMax="47" xr10:uidLastSave="{00000000-0000-0000-0000-000000000000}"/>
  <bookViews>
    <workbookView xWindow="0" yWindow="680" windowWidth="34200" windowHeight="21460" tabRatio="500" xr2:uid="{00000000-000D-0000-FFFF-FFFF00000000}"/>
  </bookViews>
  <sheets>
    <sheet name="FLOP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1" l="1"/>
  <c r="B16" i="1"/>
  <c r="J14" i="1"/>
  <c r="I14" i="1"/>
  <c r="C14" i="1"/>
  <c r="F14" i="1" s="1"/>
  <c r="L14" i="1" s="1"/>
  <c r="J10" i="1"/>
  <c r="J16" i="1" s="1"/>
  <c r="I10" i="1"/>
  <c r="I16" i="1" s="1"/>
  <c r="G10" i="1"/>
  <c r="H10" i="1" s="1"/>
  <c r="B10" i="1"/>
  <c r="D10" i="1" s="1"/>
  <c r="D16" i="1" s="1"/>
  <c r="G9" i="1"/>
  <c r="J9" i="1" s="1"/>
  <c r="J15" i="1" s="1"/>
  <c r="E9" i="1"/>
  <c r="E15" i="1" s="1"/>
  <c r="D9" i="1"/>
  <c r="D15" i="1" s="1"/>
  <c r="C9" i="1"/>
  <c r="C15" i="1" s="1"/>
  <c r="F15" i="1" s="1"/>
  <c r="B9" i="1"/>
  <c r="J8" i="1"/>
  <c r="I8" i="1"/>
  <c r="H8" i="1"/>
  <c r="H14" i="1" s="1"/>
  <c r="K14" i="1" s="1"/>
  <c r="E8" i="1"/>
  <c r="E14" i="1" s="1"/>
  <c r="D8" i="1"/>
  <c r="D14" i="1" s="1"/>
  <c r="C8" i="1"/>
  <c r="H16" i="1" l="1"/>
  <c r="K16" i="1" s="1"/>
  <c r="K10" i="1"/>
  <c r="C10" i="1"/>
  <c r="F9" i="1"/>
  <c r="E10" i="1"/>
  <c r="E16" i="1" s="1"/>
  <c r="H9" i="1"/>
  <c r="F8" i="1"/>
  <c r="K8" i="1"/>
  <c r="I9" i="1"/>
  <c r="I15" i="1" s="1"/>
  <c r="H15" i="1" l="1"/>
  <c r="K15" i="1" s="1"/>
  <c r="L15" i="1" s="1"/>
  <c r="K9" i="1"/>
  <c r="C16" i="1"/>
  <c r="F16" i="1" s="1"/>
  <c r="L16" i="1" s="1"/>
  <c r="F10" i="1"/>
</calcChain>
</file>

<file path=xl/sharedStrings.xml><?xml version="1.0" encoding="utf-8"?>
<sst xmlns="http://schemas.openxmlformats.org/spreadsheetml/2006/main" count="48" uniqueCount="26">
  <si>
    <t>FLOPs / input byte</t>
  </si>
  <si>
    <t>Constant</t>
  </si>
  <si>
    <t>× 1/n_p</t>
  </si>
  <si>
    <t>× 1/n_p²</t>
  </si>
  <si>
    <t>Local Encoder</t>
  </si>
  <si>
    <t>Global Latent Transformer</t>
  </si>
  <si>
    <t>Local Decoder</t>
  </si>
  <si>
    <t>Per input byte (MFLOPs)</t>
  </si>
  <si>
    <t>Thai</t>
  </si>
  <si>
    <t>English</t>
  </si>
  <si>
    <t>Setting</t>
  </si>
  <si>
    <t>n_p</t>
  </si>
  <si>
    <t>Enc.</t>
  </si>
  <si>
    <t>Glob.</t>
  </si>
  <si>
    <t>Dec.</t>
  </si>
  <si>
    <t>Total</t>
  </si>
  <si>
    <t>Imbalanced, global</t>
  </si>
  <si>
    <t>Bal.-cust. (boundaries)</t>
  </si>
  <si>
    <t>Bal.-cust. (full model)</t>
  </si>
  <si>
    <t>Per sentence (GFLOPs)</t>
  </si>
  <si>
    <t>Bytes</t>
  </si>
  <si>
    <t>Ratio</t>
  </si>
  <si>
    <t>Balanced-custom patching (custom encoding)</t>
  </si>
  <si>
    <t>Language</t>
  </si>
  <si>
    <t>PPS</t>
  </si>
  <si>
    <t>BPP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</si>
</sst>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164" fontId="3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171" zoomScaleNormal="100" workbookViewId="0">
      <selection activeCell="F22" sqref="F22"/>
    </sheetView>
  </sheetViews>
  <sheetFormatPr baseColWidth="10" defaultColWidth="8.6640625" defaultRowHeight="15" x14ac:dyDescent="0.2"/>
  <cols>
    <col min="1" max="1" width="26" customWidth="1"/>
    <col min="2" max="4" width="13" customWidth="1"/>
    <col min="5" max="12" width="9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2">
      <c r="A2" s="2" t="s">
        <v>4</v>
      </c>
      <c r="B2" s="3">
        <v>26220544</v>
      </c>
      <c r="C2" s="3">
        <v>8392704</v>
      </c>
      <c r="D2" s="3">
        <v>0</v>
      </c>
    </row>
    <row r="3" spans="1:12" x14ac:dyDescent="0.2">
      <c r="A3" s="2" t="s">
        <v>5</v>
      </c>
      <c r="B3" s="3">
        <v>0</v>
      </c>
      <c r="C3" s="3">
        <v>2097254400</v>
      </c>
      <c r="D3" s="3">
        <v>838860800</v>
      </c>
    </row>
    <row r="4" spans="1:12" x14ac:dyDescent="0.2">
      <c r="A4" s="2" t="s">
        <v>6</v>
      </c>
      <c r="B4" s="3">
        <v>236527616</v>
      </c>
      <c r="C4" s="3">
        <v>75497472</v>
      </c>
      <c r="D4" s="3">
        <v>0</v>
      </c>
    </row>
    <row r="6" spans="1:12" x14ac:dyDescent="0.2">
      <c r="A6" s="1" t="s">
        <v>7</v>
      </c>
      <c r="B6" s="1" t="s">
        <v>8</v>
      </c>
      <c r="G6" s="1" t="s">
        <v>9</v>
      </c>
    </row>
    <row r="7" spans="1:12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</row>
    <row r="8" spans="1:12" x14ac:dyDescent="0.2">
      <c r="A8" s="2" t="s">
        <v>16</v>
      </c>
      <c r="B8" s="8">
        <v>4.0164999999999997</v>
      </c>
      <c r="C8" s="5">
        <f>($B$2+$C$2/B8+$D$2/B8^2)/1000000</f>
        <v>28.310100579111165</v>
      </c>
      <c r="D8" s="5">
        <f>($B$3+$C$3/B8+$D$3/B8^2)/1000000</f>
        <v>574.15861535562669</v>
      </c>
      <c r="E8" s="5">
        <f>($B$4+$C$4/B8+$D$4/B8^2)/1000000</f>
        <v>255.32444707182873</v>
      </c>
      <c r="F8" s="5">
        <f>SUM(C8:E8)</f>
        <v>857.7931630065666</v>
      </c>
      <c r="G8" s="8">
        <v>3.8433999999999999</v>
      </c>
      <c r="H8" s="5">
        <f>($B$2+$C$2/G8+$D$2/G8^2)/1000000</f>
        <v>28.404210545246396</v>
      </c>
      <c r="I8" s="5">
        <f>($B$3+$C$3/G8+$D$3/G8^2)/1000000</f>
        <v>602.46513041027958</v>
      </c>
      <c r="J8" s="5">
        <f>($B$4+$C$4/G8+$D$4/G8^2)/1000000</f>
        <v>256.17102339969819</v>
      </c>
      <c r="K8" s="5">
        <f>SUM(H8:J8)</f>
        <v>887.04036435522426</v>
      </c>
    </row>
    <row r="9" spans="1:12" x14ac:dyDescent="0.2">
      <c r="A9" s="2" t="s">
        <v>17</v>
      </c>
      <c r="B9" s="8">
        <f>B15/$B$21</f>
        <v>8.6061503636872452</v>
      </c>
      <c r="C9" s="5">
        <f>($B$2+$C$2/B9+$D$2/B9^2)/1000000</f>
        <v>27.195742392467338</v>
      </c>
      <c r="D9" s="5">
        <f>($B$3+$C$3/B9+$D$3/B9^2)/1000000</f>
        <v>255.01839412861543</v>
      </c>
      <c r="E9" s="5">
        <f>($B$4+$C$4/B9+$D$4/B9^2)/1000000</f>
        <v>245.30011808392288</v>
      </c>
      <c r="F9" s="5">
        <f>SUM(C9:E9)</f>
        <v>527.51425460500559</v>
      </c>
      <c r="G9" s="8">
        <f>G15/$B$22</f>
        <v>3.8400205289880307</v>
      </c>
      <c r="H9" s="5">
        <f>($B$2+$C$2/G9+$D$2/G9^2)/1000000</f>
        <v>28.406132315646779</v>
      </c>
      <c r="I9" s="5">
        <f>($B$3+$C$3/G9+$D$3/G9^2)/1000000</f>
        <v>603.04536082220409</v>
      </c>
      <c r="J9" s="5">
        <f>($B$4+$C$4/G9+$D$4/G9^2)/1000000</f>
        <v>256.18831089214319</v>
      </c>
      <c r="K9" s="5">
        <f>SUM(H9:J9)</f>
        <v>887.63980402999414</v>
      </c>
    </row>
    <row r="10" spans="1:12" x14ac:dyDescent="0.2">
      <c r="A10" s="2" t="s">
        <v>18</v>
      </c>
      <c r="B10" s="8">
        <f>$C$21</f>
        <v>5.9749999999999996</v>
      </c>
      <c r="C10" s="5">
        <f>($B$2+$C$2/B10+$D$2/B10^2)/1000000</f>
        <v>27.625180652719667</v>
      </c>
      <c r="D10" s="5">
        <f>($B$3+$C$3/B10+$D$3/B10^2)/1000000</f>
        <v>374.50201053903123</v>
      </c>
      <c r="E10" s="5">
        <f>($B$4+$C$4/B10+$D$4/B10^2)/1000000</f>
        <v>249.16317616736404</v>
      </c>
      <c r="F10" s="5">
        <f>SUM(C10:E10)</f>
        <v>651.29036735911495</v>
      </c>
      <c r="G10" s="8">
        <f>$C$22</f>
        <v>7.6721000000000004</v>
      </c>
      <c r="H10" s="5">
        <f>($B$2+$C$2/G10+$D$2/G10^2)/1000000</f>
        <v>27.314469261662385</v>
      </c>
      <c r="I10" s="5">
        <f>($B$3+$C$3/G10+$D$3/G10^2)/1000000</f>
        <v>287.61271854059561</v>
      </c>
      <c r="J10" s="5">
        <f>($B$4+$C$4/G10+$D$4/G10^2)/1000000</f>
        <v>246.36813841237733</v>
      </c>
      <c r="K10" s="5">
        <f>SUM(H10:J10)</f>
        <v>561.29532621463534</v>
      </c>
    </row>
    <row r="12" spans="1:12" x14ac:dyDescent="0.2">
      <c r="A12" s="1" t="s">
        <v>19</v>
      </c>
      <c r="B12" s="1" t="s">
        <v>8</v>
      </c>
      <c r="G12" s="1" t="s">
        <v>9</v>
      </c>
    </row>
    <row r="13" spans="1:12" x14ac:dyDescent="0.2">
      <c r="A13" s="1" t="s">
        <v>10</v>
      </c>
      <c r="B13" s="1" t="s">
        <v>20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20</v>
      </c>
      <c r="H13" s="1" t="s">
        <v>12</v>
      </c>
      <c r="I13" s="1" t="s">
        <v>13</v>
      </c>
      <c r="J13" s="1" t="s">
        <v>14</v>
      </c>
      <c r="K13" s="1" t="s">
        <v>15</v>
      </c>
      <c r="L13" s="1" t="s">
        <v>21</v>
      </c>
    </row>
    <row r="14" spans="1:12" x14ac:dyDescent="0.2">
      <c r="A14" s="2" t="s">
        <v>16</v>
      </c>
      <c r="B14" s="6">
        <v>347.5</v>
      </c>
      <c r="C14" s="5">
        <f>C8*B14/1000</f>
        <v>9.8377599512411287</v>
      </c>
      <c r="D14" s="5">
        <f>D8*B14/1000</f>
        <v>199.52011883608029</v>
      </c>
      <c r="E14" s="5">
        <f>E8*B14/1000</f>
        <v>88.725245357460494</v>
      </c>
      <c r="F14" s="5">
        <f>SUM(C14:E14)</f>
        <v>298.08312414478189</v>
      </c>
      <c r="G14" s="6">
        <v>125.7</v>
      </c>
      <c r="H14" s="5">
        <f>H8*G14/1000</f>
        <v>3.5704092655374722</v>
      </c>
      <c r="I14" s="5">
        <f>I8*G14/1000</f>
        <v>75.729866892572147</v>
      </c>
      <c r="J14" s="5">
        <f>J8*G14/1000</f>
        <v>32.20069764134206</v>
      </c>
      <c r="K14" s="5">
        <f>SUM(H14:J14)</f>
        <v>111.50097379945169</v>
      </c>
      <c r="L14" s="7">
        <f>F14/K14</f>
        <v>2.6733678997362063</v>
      </c>
    </row>
    <row r="15" spans="1:12" x14ac:dyDescent="0.2">
      <c r="A15" s="2" t="s">
        <v>17</v>
      </c>
      <c r="B15" s="6">
        <v>347.5</v>
      </c>
      <c r="C15" s="5">
        <f>C9*B15/1000</f>
        <v>9.4505204813823998</v>
      </c>
      <c r="D15" s="5">
        <f>D9*B15/1000</f>
        <v>88.618891959693869</v>
      </c>
      <c r="E15" s="5">
        <f>E9*B15/1000</f>
        <v>85.241791034163214</v>
      </c>
      <c r="F15" s="5">
        <f>SUM(C15:E15)</f>
        <v>183.31120347523949</v>
      </c>
      <c r="G15" s="6">
        <v>125.7</v>
      </c>
      <c r="H15" s="5">
        <f>H9*G15/1000</f>
        <v>3.5706508320768005</v>
      </c>
      <c r="I15" s="5">
        <f>I9*G15/1000</f>
        <v>75.802801855351063</v>
      </c>
      <c r="J15" s="5">
        <f>J9*G15/1000</f>
        <v>32.2028706791424</v>
      </c>
      <c r="K15" s="5">
        <f>SUM(H15:J15)</f>
        <v>111.57632336657025</v>
      </c>
      <c r="L15" s="7">
        <f>F15/K15</f>
        <v>1.6429220639668609</v>
      </c>
    </row>
    <row r="16" spans="1:12" x14ac:dyDescent="0.2">
      <c r="A16" s="2" t="s">
        <v>18</v>
      </c>
      <c r="B16" s="6">
        <f>$B$21*$C$21</f>
        <v>241.25914750000001</v>
      </c>
      <c r="C16" s="5">
        <f>C10*B16/1000</f>
        <v>6.6648275338086407</v>
      </c>
      <c r="D16" s="5">
        <f>D10*B16/1000</f>
        <v>90.352035799682696</v>
      </c>
      <c r="E16" s="5">
        <f>E10*B16/1000</f>
        <v>60.112895470530567</v>
      </c>
      <c r="F16" s="5">
        <f>SUM(C16:E16)</f>
        <v>157.12975880402189</v>
      </c>
      <c r="G16" s="6">
        <f>$B$22*$C$22</f>
        <v>251.14005582000001</v>
      </c>
      <c r="H16" s="5">
        <f>H10*G16/1000</f>
        <v>6.8597573350675658</v>
      </c>
      <c r="I16" s="5">
        <f>I10*G16/1000</f>
        <v>72.231074188827137</v>
      </c>
      <c r="J16" s="5">
        <f>J10*G16/1000</f>
        <v>61.872908033153934</v>
      </c>
      <c r="K16" s="5">
        <f>SUM(H16:J16)</f>
        <v>140.96373955704865</v>
      </c>
      <c r="L16" s="7">
        <f>F16/K16</f>
        <v>1.1146821111427083</v>
      </c>
    </row>
    <row r="19" spans="1:3" x14ac:dyDescent="0.2">
      <c r="A19" s="1" t="s">
        <v>22</v>
      </c>
    </row>
    <row r="20" spans="1:3" x14ac:dyDescent="0.2">
      <c r="A20" s="1" t="s">
        <v>23</v>
      </c>
      <c r="B20" s="1" t="s">
        <v>24</v>
      </c>
      <c r="C20" s="1" t="s">
        <v>25</v>
      </c>
    </row>
    <row r="21" spans="1:3" x14ac:dyDescent="0.2">
      <c r="A21" s="2" t="s">
        <v>8</v>
      </c>
      <c r="B21" s="4">
        <v>40.378100000000003</v>
      </c>
      <c r="C21" s="4">
        <v>5.9749999999999996</v>
      </c>
    </row>
    <row r="22" spans="1:3" x14ac:dyDescent="0.2">
      <c r="A22" s="2" t="s">
        <v>9</v>
      </c>
      <c r="B22" s="4">
        <v>32.734200000000001</v>
      </c>
      <c r="C22" s="4">
        <v>7.6721000000000004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Dominic Philipp Fischer</cp:lastModifiedBy>
  <cp:revision>0</cp:revision>
  <dcterms:created xsi:type="dcterms:W3CDTF">2026-10-14T18:51:08Z</dcterms:created>
  <dcterms:modified xsi:type="dcterms:W3CDTF">2026-10-14T18:57:01Z</dcterms:modified>
  <dc:language>en-US</dc:language>
</cp:coreProperties>
</file>