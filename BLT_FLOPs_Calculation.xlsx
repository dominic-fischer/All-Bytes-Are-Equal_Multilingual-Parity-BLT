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ominic/Downloads/"/>
    </mc:Choice>
  </mc:AlternateContent>
  <xr:revisionPtr revIDLastSave="0" documentId="13_ncr:1_{5DDCE03E-E9C0-B145-9BD7-60C4705ADF58}" xr6:coauthVersionLast="47" xr6:coauthVersionMax="47" xr10:uidLastSave="{00000000-0000-0000-0000-000000000000}"/>
  <bookViews>
    <workbookView xWindow="0" yWindow="680" windowWidth="34200" windowHeight="19900" tabRatio="500" xr2:uid="{00000000-000D-0000-FFFF-FFFF00000000}"/>
  </bookViews>
  <sheets>
    <sheet name="FLOPs" sheetId="1" r:id="rId1"/>
    <sheet name="Deriv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I8" i="1" s="1"/>
  <c r="I14" i="1" s="1"/>
  <c r="C13" i="2"/>
  <c r="D32" i="2"/>
  <c r="D31" i="2"/>
  <c r="B31" i="2"/>
  <c r="D30" i="2"/>
  <c r="B27" i="2"/>
  <c r="C26" i="2"/>
  <c r="C32" i="2" s="1"/>
  <c r="B26" i="2"/>
  <c r="B25" i="2"/>
  <c r="B32" i="2" s="1"/>
  <c r="E32" i="2" s="1"/>
  <c r="B24" i="2"/>
  <c r="B23" i="2"/>
  <c r="B22" i="2"/>
  <c r="C21" i="2"/>
  <c r="B21" i="2"/>
  <c r="C20" i="2"/>
  <c r="C30" i="2" s="1"/>
  <c r="B20" i="2"/>
  <c r="B19" i="2"/>
  <c r="B30" i="2" s="1"/>
  <c r="E30" i="2" s="1"/>
  <c r="B18" i="2"/>
  <c r="B17" i="2"/>
  <c r="B16" i="2"/>
  <c r="C15" i="2"/>
  <c r="D14" i="2"/>
  <c r="C14" i="2"/>
  <c r="C31" i="2"/>
  <c r="E31" i="2" s="1"/>
  <c r="C12" i="2"/>
  <c r="G16" i="1"/>
  <c r="B16" i="1"/>
  <c r="C15" i="1"/>
  <c r="D14" i="1"/>
  <c r="C14" i="1"/>
  <c r="J10" i="1"/>
  <c r="J16" i="1" s="1"/>
  <c r="I10" i="1"/>
  <c r="I16" i="1" s="1"/>
  <c r="G10" i="1"/>
  <c r="H10" i="1" s="1"/>
  <c r="B10" i="1"/>
  <c r="C10" i="1" s="1"/>
  <c r="G9" i="1"/>
  <c r="J9" i="1" s="1"/>
  <c r="J15" i="1" s="1"/>
  <c r="E9" i="1"/>
  <c r="E15" i="1" s="1"/>
  <c r="D9" i="1"/>
  <c r="D15" i="1" s="1"/>
  <c r="C9" i="1"/>
  <c r="F9" i="1" s="1"/>
  <c r="B9" i="1"/>
  <c r="E8" i="1"/>
  <c r="F8" i="1" s="1"/>
  <c r="D8" i="1"/>
  <c r="C8" i="1"/>
  <c r="H8" i="1" l="1"/>
  <c r="H14" i="1" s="1"/>
  <c r="K14" i="1" s="1"/>
  <c r="J8" i="1"/>
  <c r="J14" i="1" s="1"/>
  <c r="C16" i="1"/>
  <c r="F15" i="1"/>
  <c r="K10" i="1"/>
  <c r="H16" i="1"/>
  <c r="K16" i="1" s="1"/>
  <c r="D10" i="1"/>
  <c r="D16" i="1" s="1"/>
  <c r="E10" i="1"/>
  <c r="E16" i="1" s="1"/>
  <c r="H9" i="1"/>
  <c r="E14" i="1"/>
  <c r="F14" i="1" s="1"/>
  <c r="K8" i="1"/>
  <c r="I9" i="1"/>
  <c r="I15" i="1" s="1"/>
  <c r="L14" i="1" l="1"/>
  <c r="F10" i="1"/>
  <c r="F16" i="1"/>
  <c r="L16" i="1" s="1"/>
  <c r="H15" i="1"/>
  <c r="K15" i="1" s="1"/>
  <c r="L15" i="1" s="1"/>
  <c r="K9" i="1"/>
</calcChain>
</file>

<file path=xl/sharedStrings.xml><?xml version="1.0" encoding="utf-8"?>
<sst xmlns="http://schemas.openxmlformats.org/spreadsheetml/2006/main" count="88" uniqueCount="56">
  <si>
    <t>FLOPs / input byte</t>
  </si>
  <si>
    <t>Constant</t>
  </si>
  <si>
    <t>× 1/n_p</t>
  </si>
  <si>
    <t>× 1/n_p²</t>
  </si>
  <si>
    <t>Local Encoder</t>
  </si>
  <si>
    <t>Global Latent Transformer</t>
  </si>
  <si>
    <t>Local Decoder</t>
  </si>
  <si>
    <t>Per input byte (MFLOPs)</t>
  </si>
  <si>
    <t>Thai</t>
  </si>
  <si>
    <t>English</t>
  </si>
  <si>
    <t>Setting</t>
  </si>
  <si>
    <t>n_p</t>
  </si>
  <si>
    <t>Enc.</t>
  </si>
  <si>
    <t>Glob.</t>
  </si>
  <si>
    <t>Dec.</t>
  </si>
  <si>
    <t>Total</t>
  </si>
  <si>
    <t>Imbalanced, global</t>
  </si>
  <si>
    <t>Bal.-cust. (boundaries)</t>
  </si>
  <si>
    <t>Bal.-cust. (full model)</t>
  </si>
  <si>
    <t>Per sentence (GFLOPs)</t>
  </si>
  <si>
    <t>Bytes</t>
  </si>
  <si>
    <t>Ratio</t>
  </si>
  <si>
    <t>Balanced-custom patching (custom encoding)</t>
  </si>
  <si>
    <t>Language</t>
  </si>
  <si>
    <t>PPS</t>
  </si>
  <si>
    <t>BPP</t>
  </si>
  <si>
    <t>Hyperparameters</t>
  </si>
  <si>
    <t>Global</t>
  </si>
  <si>
    <t>Encoder</t>
  </si>
  <si>
    <t>Decoder</t>
  </si>
  <si>
    <t>l</t>
  </si>
  <si>
    <t>h</t>
  </si>
  <si>
    <t>n_heads</t>
  </si>
  <si>
    <t>h_k</t>
  </si>
  <si>
    <t>d_ff</t>
  </si>
  <si>
    <t>V</t>
  </si>
  <si>
    <t>m (n_ctx / w)</t>
  </si>
  <si>
    <t>k</t>
  </si>
  <si>
    <t>Term</t>
  </si>
  <si>
    <t>Global: FF</t>
  </si>
  <si>
    <t>Global: QKVO</t>
  </si>
  <si>
    <t>Global: Attn.</t>
  </si>
  <si>
    <t>Global: De-Emb.</t>
  </si>
  <si>
    <t>Encoder: FF</t>
  </si>
  <si>
    <t>Encoder: QKVO</t>
  </si>
  <si>
    <t>Encoder: Attn.</t>
  </si>
  <si>
    <t>Encoder: De-Emb.</t>
  </si>
  <si>
    <t>Encoder: Cross-QKVO</t>
  </si>
  <si>
    <t>Encoder: Cross-Attn.</t>
  </si>
  <si>
    <t>Decoder: FF</t>
  </si>
  <si>
    <t>Decoder: QKVO</t>
  </si>
  <si>
    <t>Decoder: Attn.</t>
  </si>
  <si>
    <t>Decoder: De-Emb.</t>
  </si>
  <si>
    <t>Decoder: Cross-QKVO</t>
  </si>
  <si>
    <t>Decoder: Cross-Attn.</t>
  </si>
  <si>
    <t>Sanity Check: Diff. to FLOPs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</si>
</sst>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color rgb="FF0000FF"/>
      <name val="Arial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2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2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3" fontId="5" fillId="0" borderId="0" xfId="0" applyNumberFormat="1" applyFont="1"/>
    <xf numFmtId="0" fontId="5" fillId="0" borderId="1" xfId="0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0" fontId="5" fillId="0" borderId="4" xfId="0" applyFont="1" applyBorder="1"/>
    <xf numFmtId="3" fontId="5" fillId="0" borderId="5" xfId="0" applyNumberFormat="1" applyFont="1" applyBorder="1"/>
    <xf numFmtId="0" fontId="5" fillId="0" borderId="6" xfId="0" applyFont="1" applyBorder="1"/>
    <xf numFmtId="3" fontId="5" fillId="0" borderId="7" xfId="0" applyNumberFormat="1" applyFont="1" applyBorder="1"/>
    <xf numFmtId="3" fontId="5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60" zoomScaleNormal="160" workbookViewId="0">
      <selection activeCell="F19" sqref="F19"/>
    </sheetView>
  </sheetViews>
  <sheetFormatPr baseColWidth="10" defaultColWidth="8.6640625" defaultRowHeight="15" x14ac:dyDescent="0.2"/>
  <cols>
    <col min="1" max="1" width="26" customWidth="1"/>
    <col min="2" max="4" width="13" customWidth="1"/>
    <col min="5" max="12" width="9" customWidth="1"/>
  </cols>
  <sheetData>
    <row r="1" spans="1:1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2" ht="15" customHeight="1" x14ac:dyDescent="0.2">
      <c r="A2" s="2" t="s">
        <v>4</v>
      </c>
      <c r="B2" s="3">
        <v>30414848</v>
      </c>
      <c r="C2" s="3">
        <v>8392704</v>
      </c>
      <c r="D2" s="3">
        <v>0</v>
      </c>
    </row>
    <row r="3" spans="1:12" ht="15" customHeight="1" x14ac:dyDescent="0.2">
      <c r="A3" s="2" t="s">
        <v>5</v>
      </c>
      <c r="B3" s="3">
        <v>0</v>
      </c>
      <c r="C3" s="3">
        <v>2516684800</v>
      </c>
      <c r="D3" s="3">
        <v>838860800</v>
      </c>
    </row>
    <row r="4" spans="1:12" ht="15" customHeight="1" x14ac:dyDescent="0.2">
      <c r="A4" s="2" t="s">
        <v>6</v>
      </c>
      <c r="B4" s="3">
        <v>274276352</v>
      </c>
      <c r="C4" s="3">
        <v>75497472</v>
      </c>
      <c r="D4" s="3">
        <v>0</v>
      </c>
    </row>
    <row r="6" spans="1:12" ht="15" customHeight="1" x14ac:dyDescent="0.2">
      <c r="A6" s="1" t="s">
        <v>7</v>
      </c>
      <c r="B6" s="1" t="s">
        <v>8</v>
      </c>
      <c r="G6" s="1" t="s">
        <v>9</v>
      </c>
    </row>
    <row r="7" spans="1:12" ht="15" customHeight="1" x14ac:dyDescent="0.2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</row>
    <row r="8" spans="1:12" ht="15" customHeight="1" x14ac:dyDescent="0.2">
      <c r="A8" s="2" t="s">
        <v>16</v>
      </c>
      <c r="B8" s="4">
        <v>4.0164999999999997</v>
      </c>
      <c r="C8" s="5">
        <f>($B$2+$C$2/B8+$D$2/B8^2)/1000000</f>
        <v>32.504404579111167</v>
      </c>
      <c r="D8" s="5">
        <f>($B$3+$C$3/B8+$D$3/B8^2)/1000000</f>
        <v>678.58545464356393</v>
      </c>
      <c r="E8" s="5">
        <f>($B$4+$C$4/B8+$D$4/B8^2)/1000000</f>
        <v>293.07318307182874</v>
      </c>
      <c r="F8" s="5">
        <f>SUM(C8:E8)</f>
        <v>1004.1630422945038</v>
      </c>
      <c r="G8" s="4">
        <f>G15/$B$22</f>
        <v>3.8400205289880307</v>
      </c>
      <c r="H8" s="5">
        <f>($B$2+$C$2/G8+$D$2/G8^2)/1000000</f>
        <v>32.600436315646782</v>
      </c>
      <c r="I8" s="5">
        <f>($B$3+$C$3/G8+$D$3/G8^2)/1000000</f>
        <v>712.271443556333</v>
      </c>
      <c r="J8" s="5">
        <f>($B$4+$C$4/G8+$D$4/G8^2)/1000000</f>
        <v>293.9370468921432</v>
      </c>
      <c r="K8" s="5">
        <f>SUM(H8:J8)</f>
        <v>1038.808926764123</v>
      </c>
    </row>
    <row r="9" spans="1:12" ht="15" customHeight="1" x14ac:dyDescent="0.2">
      <c r="A9" s="2" t="s">
        <v>17</v>
      </c>
      <c r="B9" s="4">
        <f>B15/$B$21</f>
        <v>8.6061503636872452</v>
      </c>
      <c r="C9" s="5">
        <f>($B$2+$C$2/B9+$D$2/B9^2)/1000000</f>
        <v>31.39004639246734</v>
      </c>
      <c r="D9" s="5">
        <f>($B$3+$C$3/B9+$D$3/B9^2)/1000000</f>
        <v>303.75451681707585</v>
      </c>
      <c r="E9" s="5">
        <f>($B$4+$C$4/B9+$D$4/B9^2)/1000000</f>
        <v>283.04885408392289</v>
      </c>
      <c r="F9" s="5">
        <f>SUM(C9:E9)</f>
        <v>618.19341729346615</v>
      </c>
      <c r="G9" s="4">
        <f>G15/$B$22</f>
        <v>3.8400205289880307</v>
      </c>
      <c r="H9" s="5">
        <f>($B$2+$C$2/G9+$D$2/G9^2)/1000000</f>
        <v>32.600436315646782</v>
      </c>
      <c r="I9" s="5">
        <f>($B$3+$C$3/G9+$D$3/G9^2)/1000000</f>
        <v>712.271443556333</v>
      </c>
      <c r="J9" s="5">
        <f>($B$4+$C$4/G9+$D$4/G9^2)/1000000</f>
        <v>293.9370468921432</v>
      </c>
      <c r="K9" s="5">
        <f>SUM(H9:J9)</f>
        <v>1038.808926764123</v>
      </c>
    </row>
    <row r="10" spans="1:12" ht="15" customHeight="1" x14ac:dyDescent="0.2">
      <c r="A10" s="2" t="s">
        <v>18</v>
      </c>
      <c r="B10" s="4">
        <f>$C$21</f>
        <v>5.9749999999999996</v>
      </c>
      <c r="C10" s="5">
        <f>($B$2+$C$2/B10+$D$2/B10^2)/1000000</f>
        <v>31.819484652719666</v>
      </c>
      <c r="D10" s="5">
        <f>($B$3+$C$3/B10+$D$3/B10^2)/1000000</f>
        <v>444.69956702438691</v>
      </c>
      <c r="E10" s="5">
        <f>($B$4+$C$4/B10+$D$4/B10^2)/1000000</f>
        <v>286.91191216736399</v>
      </c>
      <c r="F10" s="5">
        <f>SUM(C10:E10)</f>
        <v>763.43096384447063</v>
      </c>
      <c r="G10" s="4">
        <f>$C$22</f>
        <v>7.6721000000000004</v>
      </c>
      <c r="H10" s="5">
        <f>($B$2+$C$2/G10+$D$2/G10^2)/1000000</f>
        <v>31.508773261662387</v>
      </c>
      <c r="I10" s="5">
        <f>($B$3+$C$3/G10+$D$3/G10^2)/1000000</f>
        <v>342.28228749824734</v>
      </c>
      <c r="J10" s="5">
        <f>($B$4+$C$4/G10+$D$4/G10^2)/1000000</f>
        <v>284.11687441237729</v>
      </c>
      <c r="K10" s="5">
        <f>SUM(H10:J10)</f>
        <v>657.90793517228701</v>
      </c>
    </row>
    <row r="12" spans="1:12" ht="15" customHeight="1" x14ac:dyDescent="0.2">
      <c r="A12" s="1" t="s">
        <v>19</v>
      </c>
      <c r="B12" s="1" t="s">
        <v>8</v>
      </c>
      <c r="G12" s="1" t="s">
        <v>9</v>
      </c>
    </row>
    <row r="13" spans="1:12" ht="15" customHeight="1" x14ac:dyDescent="0.2">
      <c r="A13" s="1" t="s">
        <v>10</v>
      </c>
      <c r="B13" s="1" t="s">
        <v>20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20</v>
      </c>
      <c r="H13" s="1" t="s">
        <v>12</v>
      </c>
      <c r="I13" s="1" t="s">
        <v>13</v>
      </c>
      <c r="J13" s="1" t="s">
        <v>14</v>
      </c>
      <c r="K13" s="1" t="s">
        <v>15</v>
      </c>
      <c r="L13" s="1" t="s">
        <v>21</v>
      </c>
    </row>
    <row r="14" spans="1:12" ht="15" customHeight="1" x14ac:dyDescent="0.2">
      <c r="A14" s="2" t="s">
        <v>16</v>
      </c>
      <c r="B14" s="6">
        <v>347.5</v>
      </c>
      <c r="C14" s="5">
        <f>C8*B14/1000</f>
        <v>11.295280591241131</v>
      </c>
      <c r="D14" s="5">
        <f>D8*B14/1000</f>
        <v>235.80844548863848</v>
      </c>
      <c r="E14" s="5">
        <f>E8*B14/1000</f>
        <v>101.84293111746048</v>
      </c>
      <c r="F14" s="5">
        <f>SUM(C14:E14)</f>
        <v>348.94665719734007</v>
      </c>
      <c r="G14" s="6">
        <v>125.7</v>
      </c>
      <c r="H14" s="5">
        <f>H8*G14/1000</f>
        <v>4.0978748448768005</v>
      </c>
      <c r="I14" s="5">
        <f>I8*G14/1000</f>
        <v>89.532520455031062</v>
      </c>
      <c r="J14" s="5">
        <f>J8*G14/1000</f>
        <v>36.947886794342402</v>
      </c>
      <c r="K14" s="5">
        <f>SUM(H14:J14)</f>
        <v>130.57828209425026</v>
      </c>
      <c r="L14" s="7">
        <f>F14/K14</f>
        <v>2.6723177208402347</v>
      </c>
    </row>
    <row r="15" spans="1:12" ht="15" customHeight="1" x14ac:dyDescent="0.2">
      <c r="A15" s="2" t="s">
        <v>17</v>
      </c>
      <c r="B15" s="6">
        <v>347.5</v>
      </c>
      <c r="C15" s="5">
        <f>C9*B15/1000</f>
        <v>10.9080411213824</v>
      </c>
      <c r="D15" s="5">
        <f>D9*B15/1000</f>
        <v>105.55469459393386</v>
      </c>
      <c r="E15" s="5">
        <f>E9*B15/1000</f>
        <v>98.3594767941632</v>
      </c>
      <c r="F15" s="5">
        <f>SUM(C15:E15)</f>
        <v>214.82221250947947</v>
      </c>
      <c r="G15" s="6">
        <v>125.7</v>
      </c>
      <c r="H15" s="5">
        <f>H9*G15/1000</f>
        <v>4.0978748448768005</v>
      </c>
      <c r="I15" s="5">
        <f>I9*G15/1000</f>
        <v>89.532520455031062</v>
      </c>
      <c r="J15" s="5">
        <f>J9*G15/1000</f>
        <v>36.947886794342402</v>
      </c>
      <c r="K15" s="5">
        <f>SUM(H15:J15)</f>
        <v>130.57828209425026</v>
      </c>
      <c r="L15" s="7">
        <f>F15/K15</f>
        <v>1.6451603518142679</v>
      </c>
    </row>
    <row r="16" spans="1:12" ht="15" customHeight="1" x14ac:dyDescent="0.2">
      <c r="A16" s="2" t="s">
        <v>18</v>
      </c>
      <c r="B16" s="6">
        <f>$B$21*$C$21</f>
        <v>241.25914750000001</v>
      </c>
      <c r="C16" s="5">
        <f>C10*B16/1000</f>
        <v>7.6767417412044807</v>
      </c>
      <c r="D16" s="5">
        <f>D10*B16/1000</f>
        <v>107.2878384339227</v>
      </c>
      <c r="E16" s="5">
        <f>E10*B16/1000</f>
        <v>69.220123337093113</v>
      </c>
      <c r="F16" s="5">
        <f>SUM(C16:E16)</f>
        <v>184.1847035122203</v>
      </c>
      <c r="G16" s="6">
        <f>$B$22*$C$22</f>
        <v>251.14005582000001</v>
      </c>
      <c r="H16" s="5">
        <f>H10*G16/1000</f>
        <v>7.9131150757536162</v>
      </c>
      <c r="I16" s="5">
        <f>I10*G16/1000</f>
        <v>85.960792788507121</v>
      </c>
      <c r="J16" s="5">
        <f>J10*G16/1000</f>
        <v>71.353127699328368</v>
      </c>
      <c r="K16" s="5">
        <f>SUM(H16:J16)</f>
        <v>165.22703556358908</v>
      </c>
      <c r="L16" s="7">
        <f>F16/K16</f>
        <v>1.1147370821244031</v>
      </c>
    </row>
    <row r="19" spans="1:3" ht="15" customHeight="1" x14ac:dyDescent="0.2">
      <c r="A19" s="1" t="s">
        <v>22</v>
      </c>
    </row>
    <row r="20" spans="1:3" ht="15" customHeight="1" x14ac:dyDescent="0.2">
      <c r="A20" s="1" t="s">
        <v>23</v>
      </c>
      <c r="B20" s="1" t="s">
        <v>24</v>
      </c>
      <c r="C20" s="1" t="s">
        <v>25</v>
      </c>
    </row>
    <row r="21" spans="1:3" ht="15" customHeight="1" x14ac:dyDescent="0.2">
      <c r="A21" s="2" t="s">
        <v>8</v>
      </c>
      <c r="B21" s="8">
        <v>40.378100000000003</v>
      </c>
      <c r="C21" s="8">
        <v>5.9749999999999996</v>
      </c>
    </row>
    <row r="22" spans="1:3" ht="15" customHeight="1" x14ac:dyDescent="0.2">
      <c r="A22" s="2" t="s">
        <v>9</v>
      </c>
      <c r="B22" s="8">
        <v>32.734200000000001</v>
      </c>
      <c r="C22" s="8">
        <v>7.6721000000000004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opLeftCell="A3" zoomScale="160" zoomScaleNormal="160" workbookViewId="0">
      <selection activeCell="A6" sqref="A6"/>
    </sheetView>
  </sheetViews>
  <sheetFormatPr baseColWidth="10" defaultColWidth="8.6640625" defaultRowHeight="15" x14ac:dyDescent="0.2"/>
  <cols>
    <col min="1" max="1" width="26" customWidth="1"/>
    <col min="2" max="5" width="16" customWidth="1"/>
  </cols>
  <sheetData>
    <row r="1" spans="1:4" x14ac:dyDescent="0.2">
      <c r="A1" s="9" t="s">
        <v>26</v>
      </c>
      <c r="B1" s="9" t="s">
        <v>27</v>
      </c>
      <c r="C1" s="9" t="s">
        <v>28</v>
      </c>
      <c r="D1" s="9" t="s">
        <v>29</v>
      </c>
    </row>
    <row r="2" spans="1:4" x14ac:dyDescent="0.2">
      <c r="A2" s="10" t="s">
        <v>30</v>
      </c>
      <c r="B2" s="11">
        <v>25</v>
      </c>
      <c r="C2" s="11">
        <v>1</v>
      </c>
      <c r="D2" s="11">
        <v>9</v>
      </c>
    </row>
    <row r="3" spans="1:4" x14ac:dyDescent="0.2">
      <c r="A3" s="10" t="s">
        <v>31</v>
      </c>
      <c r="B3" s="11">
        <v>2048</v>
      </c>
      <c r="C3" s="11">
        <v>1024</v>
      </c>
      <c r="D3" s="11">
        <v>1024</v>
      </c>
    </row>
    <row r="4" spans="1:4" x14ac:dyDescent="0.2">
      <c r="A4" s="10" t="s">
        <v>32</v>
      </c>
      <c r="B4" s="11">
        <v>16</v>
      </c>
      <c r="C4" s="11">
        <v>16</v>
      </c>
      <c r="D4" s="11">
        <v>16</v>
      </c>
    </row>
    <row r="5" spans="1:4" x14ac:dyDescent="0.2">
      <c r="A5" s="10" t="s">
        <v>33</v>
      </c>
      <c r="B5" s="11">
        <v>128</v>
      </c>
      <c r="C5" s="11">
        <v>64</v>
      </c>
      <c r="D5" s="11">
        <v>64</v>
      </c>
    </row>
    <row r="6" spans="1:4" x14ac:dyDescent="0.2">
      <c r="A6" s="10" t="s">
        <v>34</v>
      </c>
      <c r="B6" s="11">
        <v>4</v>
      </c>
      <c r="C6" s="11">
        <v>4</v>
      </c>
      <c r="D6" s="11">
        <v>4</v>
      </c>
    </row>
    <row r="7" spans="1:4" x14ac:dyDescent="0.2">
      <c r="A7" s="10" t="s">
        <v>35</v>
      </c>
      <c r="B7" s="11">
        <v>0</v>
      </c>
      <c r="C7" s="11">
        <v>0</v>
      </c>
      <c r="D7" s="11">
        <v>256</v>
      </c>
    </row>
    <row r="8" spans="1:4" x14ac:dyDescent="0.2">
      <c r="A8" s="10" t="s">
        <v>36</v>
      </c>
      <c r="B8" s="11">
        <v>8192</v>
      </c>
      <c r="C8" s="11">
        <v>512</v>
      </c>
      <c r="D8" s="11">
        <v>512</v>
      </c>
    </row>
    <row r="9" spans="1:4" x14ac:dyDescent="0.2">
      <c r="A9" s="10" t="s">
        <v>37</v>
      </c>
      <c r="C9" s="11">
        <v>2</v>
      </c>
      <c r="D9" s="11">
        <v>2</v>
      </c>
    </row>
    <row r="11" spans="1:4" x14ac:dyDescent="0.2">
      <c r="A11" s="9" t="s">
        <v>38</v>
      </c>
      <c r="B11" s="9" t="s">
        <v>1</v>
      </c>
      <c r="C11" s="9" t="s">
        <v>2</v>
      </c>
      <c r="D11" s="9" t="s">
        <v>3</v>
      </c>
    </row>
    <row r="12" spans="1:4" x14ac:dyDescent="0.2">
      <c r="A12" s="13" t="s">
        <v>39</v>
      </c>
      <c r="B12" s="14">
        <v>0</v>
      </c>
      <c r="C12" s="14">
        <f>4*$B$2*$B$3^2*$B$6</f>
        <v>1677721600</v>
      </c>
      <c r="D12" s="15">
        <v>0</v>
      </c>
    </row>
    <row r="13" spans="1:4" x14ac:dyDescent="0.2">
      <c r="A13" s="16" t="s">
        <v>40</v>
      </c>
      <c r="B13" s="12">
        <v>0</v>
      </c>
      <c r="C13" s="12">
        <f>8*$B$2*$B$3^2</f>
        <v>838860800</v>
      </c>
      <c r="D13" s="17">
        <v>0</v>
      </c>
    </row>
    <row r="14" spans="1:4" x14ac:dyDescent="0.2">
      <c r="A14" s="16" t="s">
        <v>41</v>
      </c>
      <c r="B14" s="12">
        <v>0</v>
      </c>
      <c r="C14" s="12">
        <f>4*$B$2*$B$5*$B$4/2</f>
        <v>102400</v>
      </c>
      <c r="D14" s="17">
        <f>4*$B$2*$B$5*$B$4*$B$8/2</f>
        <v>838860800</v>
      </c>
    </row>
    <row r="15" spans="1:4" x14ac:dyDescent="0.2">
      <c r="A15" s="18" t="s">
        <v>42</v>
      </c>
      <c r="B15" s="19">
        <v>0</v>
      </c>
      <c r="C15" s="19">
        <f>2*$B$3*$B$7</f>
        <v>0</v>
      </c>
      <c r="D15" s="20">
        <v>0</v>
      </c>
    </row>
    <row r="16" spans="1:4" x14ac:dyDescent="0.2">
      <c r="A16" s="13" t="s">
        <v>43</v>
      </c>
      <c r="B16" s="14">
        <f>4*$C$2*$C$3^2*$C$6</f>
        <v>16777216</v>
      </c>
      <c r="C16" s="14">
        <v>0</v>
      </c>
      <c r="D16" s="15">
        <v>0</v>
      </c>
    </row>
    <row r="17" spans="1:5" x14ac:dyDescent="0.2">
      <c r="A17" s="16" t="s">
        <v>44</v>
      </c>
      <c r="B17" s="12">
        <f>8*$C$2*$C$3^2</f>
        <v>8388608</v>
      </c>
      <c r="C17" s="12">
        <v>0</v>
      </c>
      <c r="D17" s="17">
        <v>0</v>
      </c>
    </row>
    <row r="18" spans="1:5" x14ac:dyDescent="0.2">
      <c r="A18" s="16" t="s">
        <v>45</v>
      </c>
      <c r="B18" s="12">
        <f>4*$C$2*$C$5*$C$4*($C$8+1)/2</f>
        <v>1050624</v>
      </c>
      <c r="C18" s="12">
        <v>0</v>
      </c>
      <c r="D18" s="17">
        <v>0</v>
      </c>
    </row>
    <row r="19" spans="1:5" x14ac:dyDescent="0.2">
      <c r="A19" s="16" t="s">
        <v>46</v>
      </c>
      <c r="B19" s="12">
        <f>2*$C$3*$C$7</f>
        <v>0</v>
      </c>
      <c r="C19" s="12">
        <v>0</v>
      </c>
      <c r="D19" s="17">
        <v>0</v>
      </c>
    </row>
    <row r="20" spans="1:5" x14ac:dyDescent="0.2">
      <c r="A20" s="16" t="s">
        <v>47</v>
      </c>
      <c r="B20" s="12">
        <f>4*$C$2*($C$5*$C$4)^2</f>
        <v>4194304</v>
      </c>
      <c r="C20" s="12">
        <f>4*$C$9*$C$2*($C$5*$C$4)^2</f>
        <v>8388608</v>
      </c>
      <c r="D20" s="17">
        <v>0</v>
      </c>
    </row>
    <row r="21" spans="1:5" x14ac:dyDescent="0.2">
      <c r="A21" s="18" t="s">
        <v>48</v>
      </c>
      <c r="B21" s="19">
        <f>2*$C$2*$C$5*$C$4*$C$9</f>
        <v>4096</v>
      </c>
      <c r="C21" s="19">
        <f>2*$C$2*$C$5*$C$4*$C$9</f>
        <v>4096</v>
      </c>
      <c r="D21" s="20">
        <v>0</v>
      </c>
    </row>
    <row r="22" spans="1:5" x14ac:dyDescent="0.2">
      <c r="A22" s="13" t="s">
        <v>49</v>
      </c>
      <c r="B22" s="14">
        <f>4*$D$2*$D$3^2*$D$6</f>
        <v>150994944</v>
      </c>
      <c r="C22" s="14">
        <v>0</v>
      </c>
      <c r="D22" s="15">
        <v>0</v>
      </c>
    </row>
    <row r="23" spans="1:5" x14ac:dyDescent="0.2">
      <c r="A23" s="16" t="s">
        <v>50</v>
      </c>
      <c r="B23" s="12">
        <f>8*$D$2*$D$3^2</f>
        <v>75497472</v>
      </c>
      <c r="C23" s="12">
        <v>0</v>
      </c>
      <c r="D23" s="17">
        <v>0</v>
      </c>
    </row>
    <row r="24" spans="1:5" x14ac:dyDescent="0.2">
      <c r="A24" s="16" t="s">
        <v>51</v>
      </c>
      <c r="B24" s="12">
        <f>4*$D$2*$D$5*$D$4*($D$8+1)/2</f>
        <v>9455616</v>
      </c>
      <c r="C24" s="12">
        <v>0</v>
      </c>
      <c r="D24" s="17">
        <v>0</v>
      </c>
    </row>
    <row r="25" spans="1:5" x14ac:dyDescent="0.2">
      <c r="A25" s="16" t="s">
        <v>52</v>
      </c>
      <c r="B25" s="12">
        <f>2*$D$3*$D$7</f>
        <v>524288</v>
      </c>
      <c r="C25" s="12">
        <v>0</v>
      </c>
      <c r="D25" s="17">
        <v>0</v>
      </c>
    </row>
    <row r="26" spans="1:5" x14ac:dyDescent="0.2">
      <c r="A26" s="16" t="s">
        <v>53</v>
      </c>
      <c r="B26" s="12">
        <f>4*$D$2*($D$5*$D$4)^2</f>
        <v>37748736</v>
      </c>
      <c r="C26" s="12">
        <f>4*$D$9*$D$2*($D$5*$D$4)^2</f>
        <v>75497472</v>
      </c>
      <c r="D26" s="17">
        <v>0</v>
      </c>
    </row>
    <row r="27" spans="1:5" x14ac:dyDescent="0.2">
      <c r="A27" s="18" t="s">
        <v>54</v>
      </c>
      <c r="B27" s="19">
        <f>2*$D$2*$D$5*$D$4*($D$9+1)</f>
        <v>55296</v>
      </c>
      <c r="C27" s="19">
        <v>0</v>
      </c>
      <c r="D27" s="20">
        <v>0</v>
      </c>
    </row>
    <row r="29" spans="1:5" x14ac:dyDescent="0.2">
      <c r="A29" s="9" t="s">
        <v>15</v>
      </c>
      <c r="B29" s="9" t="s">
        <v>1</v>
      </c>
      <c r="C29" s="9" t="s">
        <v>2</v>
      </c>
      <c r="D29" s="9" t="s">
        <v>3</v>
      </c>
      <c r="E29" s="9" t="s">
        <v>55</v>
      </c>
    </row>
    <row r="30" spans="1:5" x14ac:dyDescent="0.2">
      <c r="A30" s="10" t="s">
        <v>4</v>
      </c>
      <c r="B30" s="12">
        <f>SUM(B16:B21)</f>
        <v>30414848</v>
      </c>
      <c r="C30" s="12">
        <f>SUM(C16:C21)</f>
        <v>8392704</v>
      </c>
      <c r="D30" s="12">
        <f>SUM(D16:D21)</f>
        <v>0</v>
      </c>
      <c r="E30" s="12">
        <f>ABS(B30-FLOPs!B2)+ABS(C30-FLOPs!C2)+ABS(D30-FLOPs!D2)</f>
        <v>0</v>
      </c>
    </row>
    <row r="31" spans="1:5" x14ac:dyDescent="0.2">
      <c r="A31" s="10" t="s">
        <v>5</v>
      </c>
      <c r="B31" s="12">
        <f>SUM(B12:B15)</f>
        <v>0</v>
      </c>
      <c r="C31" s="12">
        <f>SUM(C12:C15)</f>
        <v>2516684800</v>
      </c>
      <c r="D31" s="12">
        <f>SUM(D12:D15)</f>
        <v>838860800</v>
      </c>
      <c r="E31" s="12">
        <f>ABS(B31-FLOPs!B3)+ABS(C31-FLOPs!C3)+ABS(D31-FLOPs!D3)</f>
        <v>0</v>
      </c>
    </row>
    <row r="32" spans="1:5" x14ac:dyDescent="0.2">
      <c r="A32" s="10" t="s">
        <v>6</v>
      </c>
      <c r="B32" s="12">
        <f>SUM(B22:B27)</f>
        <v>274276352</v>
      </c>
      <c r="C32" s="12">
        <f>SUM(C22:C27)</f>
        <v>75497472</v>
      </c>
      <c r="D32" s="12">
        <f>SUM(D22:D27)</f>
        <v>0</v>
      </c>
      <c r="E32" s="12">
        <f>ABS(B32-FLOPs!B4)+ABS(C32-FLOPs!C4)+ABS(D32-FLOPs!D4)</f>
        <v>0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D30 D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FLOPs</vt:lpstr>
      <vt:lpstr>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Dominic Philipp Fischer</cp:lastModifiedBy>
  <cp:revision>0</cp:revision>
  <dcterms:created xsi:type="dcterms:W3CDTF">2026-10-14T18:51:08Z</dcterms:created>
  <dcterms:modified xsi:type="dcterms:W3CDTF">2026-10-17T20:00:29Z</dcterms:modified>
  <dc:language>en-US</dc:language>
</cp:coreProperties>
</file>